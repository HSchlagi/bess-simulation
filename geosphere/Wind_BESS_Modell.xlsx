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_Input" sheetId="1" state="visible" r:id="rId1"/>
    <sheet xmlns:r="http://schemas.openxmlformats.org/officeDocument/2006/relationships" name="PowerCurve" sheetId="2" state="visible" r:id="rId2"/>
    <sheet xmlns:r="http://schemas.openxmlformats.org/officeDocument/2006/relationships" name="Annual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v_10m</t>
        </is>
      </c>
      <c r="C1" t="inlineStr">
        <is>
          <t>alpha</t>
        </is>
      </c>
      <c r="D1" t="inlineStr">
        <is>
          <t>hub_height_m</t>
        </is>
      </c>
      <c r="E1" t="inlineStr">
        <is>
          <t>v_hub</t>
        </is>
      </c>
      <c r="F1" t="inlineStr">
        <is>
          <t>P_raw_kW</t>
        </is>
      </c>
      <c r="G1" t="inlineStr">
        <is>
          <t>loss_factor</t>
        </is>
      </c>
      <c r="H1" t="inlineStr">
        <is>
          <t>P_net_kW</t>
        </is>
      </c>
      <c r="I1" t="inlineStr">
        <is>
          <t>E_15min_kWh</t>
        </is>
      </c>
    </row>
    <row r="2">
      <c r="A2" t="inlineStr">
        <is>
          <t>2025-01-01 00:00</t>
        </is>
      </c>
      <c r="B2" t="n">
        <v>5.2</v>
      </c>
      <c r="C2" t="n">
        <v>0.18</v>
      </c>
      <c r="D2" t="n">
        <v>120</v>
      </c>
      <c r="E2">
        <f>B2*(D2/10)^C2</f>
        <v/>
      </c>
      <c r="F2">
        <f>VLOOKUP(E2,PowerCurve!A:B,2,TRUE)</f>
        <v/>
      </c>
      <c r="G2" t="n">
        <v>0.15</v>
      </c>
      <c r="H2">
        <f>F2*(1-G2)</f>
        <v/>
      </c>
      <c r="I2">
        <f>H2*0.25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</t>
        </is>
      </c>
      <c r="B1" t="inlineStr">
        <is>
          <t>P_kW</t>
        </is>
      </c>
    </row>
    <row r="2">
      <c r="A2" t="n">
        <v>0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150</v>
      </c>
    </row>
    <row r="5">
      <c r="A5" t="n">
        <v>5</v>
      </c>
      <c r="B5" t="n">
        <v>300</v>
      </c>
    </row>
    <row r="6">
      <c r="A6" t="n">
        <v>6</v>
      </c>
      <c r="B6" t="n">
        <v>600</v>
      </c>
    </row>
    <row r="7">
      <c r="A7" t="n">
        <v>7</v>
      </c>
      <c r="B7" t="n">
        <v>1000</v>
      </c>
    </row>
    <row r="8">
      <c r="A8" t="n">
        <v>8</v>
      </c>
      <c r="B8" t="n">
        <v>1600</v>
      </c>
    </row>
    <row r="9">
      <c r="A9" t="n">
        <v>9</v>
      </c>
      <c r="B9" t="n">
        <v>2300</v>
      </c>
    </row>
    <row r="10">
      <c r="A10" t="n">
        <v>10</v>
      </c>
      <c r="B10" t="n">
        <v>3000</v>
      </c>
    </row>
    <row r="11">
      <c r="A11" t="n">
        <v>11</v>
      </c>
      <c r="B11" t="n">
        <v>3600</v>
      </c>
    </row>
    <row r="12">
      <c r="A12" t="n">
        <v>12</v>
      </c>
      <c r="B12" t="n">
        <v>4000</v>
      </c>
    </row>
    <row r="13">
      <c r="A13" t="n">
        <v>13</v>
      </c>
      <c r="B13" t="n">
        <v>4200</v>
      </c>
    </row>
    <row r="14">
      <c r="A14" t="n">
        <v>14</v>
      </c>
      <c r="B14" t="n">
        <v>4200</v>
      </c>
    </row>
    <row r="15">
      <c r="A15" t="n">
        <v>25</v>
      </c>
      <c r="B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Annual Energy (kWh)</t>
        </is>
      </c>
      <c r="B2">
        <f>SUM(Wind_Input!I:I)</f>
        <v/>
      </c>
    </row>
    <row r="3">
      <c r="A3" t="inlineStr">
        <is>
          <t>Rated Power (kW)</t>
        </is>
      </c>
      <c r="B3" t="n">
        <v>4200</v>
      </c>
    </row>
    <row r="4">
      <c r="A4" t="inlineStr">
        <is>
          <t>Full Load Hours</t>
        </is>
      </c>
      <c r="B4">
        <f>B2/B3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2025-11-15T19:04:14Z</dcterms:created>
  <dcterms:modified xmlns:dcterms="http://purl.org/dc/terms/" xmlns:xsi="http://www.w3.org/2001/XMLSchema-instance" xsi:type="dcterms:W3CDTF">2025-11-15T19:04:14Z</dcterms:modified>
</cp:coreProperties>
</file>